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ianb\Desktop\"/>
    </mc:Choice>
  </mc:AlternateContent>
  <xr:revisionPtr revIDLastSave="0" documentId="13_ncr:1_{8CE4F95F-6F8D-4B93-AEEA-074043910FEA}" xr6:coauthVersionLast="47" xr6:coauthVersionMax="47" xr10:uidLastSave="{00000000-0000-0000-0000-000000000000}"/>
  <bookViews>
    <workbookView xWindow="2232" yWindow="864" windowWidth="17280" windowHeight="10248" tabRatio="500" activeTab="1" xr2:uid="{00000000-000D-0000-FFFF-FFFF00000000}"/>
  </bookViews>
  <sheets>
    <sheet name="Power Budget" sheetId="1" r:id="rId1"/>
    <sheet name="Protezione &amp; Fusibili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7" i="1" l="1"/>
  <c r="B36" i="1"/>
  <c r="G30" i="1"/>
  <c r="G28" i="1"/>
  <c r="F28" i="1"/>
  <c r="E28" i="1"/>
  <c r="D28" i="1"/>
  <c r="G27" i="1"/>
  <c r="F27" i="1"/>
  <c r="E27" i="1"/>
  <c r="D27" i="1"/>
  <c r="G26" i="1"/>
  <c r="F26" i="1"/>
  <c r="E26" i="1"/>
  <c r="D26" i="1"/>
  <c r="G25" i="1"/>
  <c r="F25" i="1"/>
  <c r="E25" i="1"/>
  <c r="D25" i="1"/>
  <c r="G24" i="1"/>
  <c r="F24" i="1"/>
  <c r="E24" i="1"/>
  <c r="D24" i="1"/>
  <c r="H18" i="1"/>
  <c r="G18" i="1"/>
  <c r="H16" i="1"/>
  <c r="G16" i="1"/>
  <c r="H15" i="1"/>
  <c r="G15" i="1"/>
  <c r="H13" i="1"/>
  <c r="G13" i="1"/>
  <c r="H12" i="1"/>
  <c r="G12" i="1"/>
  <c r="H11" i="1"/>
  <c r="G11" i="1"/>
  <c r="H9" i="1"/>
  <c r="G9" i="1"/>
  <c r="H7" i="1"/>
  <c r="G7" i="1"/>
  <c r="H6" i="1"/>
  <c r="G6" i="1"/>
  <c r="H5" i="1"/>
  <c r="B39" i="1" s="1"/>
  <c r="G5" i="1"/>
  <c r="B38" i="1" s="1"/>
  <c r="E30" i="1" l="1"/>
</calcChain>
</file>

<file path=xl/sharedStrings.xml><?xml version="1.0" encoding="utf-8"?>
<sst xmlns="http://schemas.openxmlformats.org/spreadsheetml/2006/main" count="191" uniqueCount="177">
  <si>
    <t>🤖  ROBOT POWER BUDGET — Budget Completo Alimentazione</t>
  </si>
  <si>
    <t>Legenda colori testo:  BLU = input modificabile   NERO = formula automatica   |   Legenda sfondo:  🔵 Rail 5V RPi   🔴 Rail 12V Motori   🟢 Rail 5V Servo</t>
  </si>
  <si>
    <t>Componente</t>
  </si>
  <si>
    <t>Rail / Fonte</t>
  </si>
  <si>
    <t>Qtà</t>
  </si>
  <si>
    <t>V (V)</t>
  </si>
  <si>
    <t>I typ/unit (A)</t>
  </si>
  <si>
    <t>I picco/unit (A)</t>
  </si>
  <si>
    <t>W typ totale</t>
  </si>
  <si>
    <t>W picco totale</t>
  </si>
  <si>
    <t>Note / Fonte dati</t>
  </si>
  <si>
    <t xml:space="preserve">  ▶  RAIL 5V — Raspberry Pi</t>
  </si>
  <si>
    <t>Raspberry Pi 4 (computing)</t>
  </si>
  <si>
    <t>5V RPi (buck)</t>
  </si>
  <si>
    <t>Tipico idle; picco heavy load — fonte: RPi Foundation</t>
  </si>
  <si>
    <t>ReSpeaker 2-Mic HAT</t>
  </si>
  <si>
    <t>5V RPi (GPIO 5V)</t>
  </si>
  <si>
    <t>Stima conservativa — datasheet keyestudio KS0314</t>
  </si>
  <si>
    <t>MPU6050 (accel/gyro)</t>
  </si>
  <si>
    <t>5V RPi o ESP32 3.3V</t>
  </si>
  <si>
    <t>3.3V tramite reg. RPi; consumo tipico da datasheet InvenSense</t>
  </si>
  <si>
    <t xml:space="preserve">  ▶  RAIL 5V — Servomotori</t>
  </si>
  <si>
    <t>Servomotori (MG996R o sim.)</t>
  </si>
  <si>
    <t>5V Servo (buck dedicato)</t>
  </si>
  <si>
    <t>Stima: 100mA idle, 650mA picco/servo — verificare con datasheet servo specifico</t>
  </si>
  <si>
    <t xml:space="preserve">  ▶  RAIL 5V — ESP32 &amp; Sensori</t>
  </si>
  <si>
    <t>ESP32-WROOM-32 (×2)</t>
  </si>
  <si>
    <t>5V ESP (buck o RPi rail)</t>
  </si>
  <si>
    <t>VIN→reg. interno; typ 80mA WiFi attivo, picco 350mA burst TX — fonte: Espressif datasheet</t>
  </si>
  <si>
    <t>HC-SR04 ultrasuoni (×6)</t>
  </si>
  <si>
    <t>5V ESP rail</t>
  </si>
  <si>
    <t>15mA costante per sensore — fonte: datasheet HC-SR04</t>
  </si>
  <si>
    <t>TCRT5000 inseguimento linea (×3)</t>
  </si>
  <si>
    <t>~20mA/modulo incluso LED IR — stima da scheda modulo</t>
  </si>
  <si>
    <t xml:space="preserve">  ▶  RAIL 12V — Motori &amp; Driver</t>
  </si>
  <si>
    <t>Motore JGA25-370 12V/280rpm (×4)</t>
  </si>
  <si>
    <t>12V LiPo 3S diretta</t>
  </si>
  <si>
    <t>AT Load 450mA, stallo 1300mA/motore — tabella immagine datasheet (più affidabile)</t>
  </si>
  <si>
    <t>Driver TB6612FNG (×2)</t>
  </si>
  <si>
    <t>VM=12V LiPo; VCC=5V</t>
  </si>
  <si>
    <t>Logica 5V ~10mA typ — datasheet Toshiba TB6612FNG</t>
  </si>
  <si>
    <t xml:space="preserve">  ▶  RAIL USB 5V — Display</t>
  </si>
  <si>
    <t>Monitor 7" IPS Touch</t>
  </si>
  <si>
    <t>USB 5V (connettore dedicato PCB)</t>
  </si>
  <si>
    <t>Stima: ~2.5W typ su 5V; picco backlight + touch — fonte: scheda prodotto AliExpress</t>
  </si>
  <si>
    <t xml:space="preserve">  ▶  SORGENTE — LiPo 3S</t>
  </si>
  <si>
    <t>LiPo 3S (11.1V nom / 12.6V max)</t>
  </si>
  <si>
    <t>Batteria principale</t>
  </si>
  <si>
    <t>—</t>
  </si>
  <si>
    <t>Tensione nominale 11.1V, piena carica 12.6V, scarica 9.0V cutoff</t>
  </si>
  <si>
    <t xml:space="preserve">  SUBTOTALI PER RAIL</t>
  </si>
  <si>
    <t>Rail</t>
  </si>
  <si>
    <t>Descrizione</t>
  </si>
  <si>
    <t>I typ totale (A)</t>
  </si>
  <si>
    <t>I picco totale (A)</t>
  </si>
  <si>
    <t>W typ</t>
  </si>
  <si>
    <t>W picco</t>
  </si>
  <si>
    <t>Fusibile consigliato</t>
  </si>
  <si>
    <t>Note protezione</t>
  </si>
  <si>
    <t>5V Rail RPi</t>
  </si>
  <si>
    <t>RPi + ReSpeaker + MPU6050</t>
  </si>
  <si>
    <t>≥ 3A — es. polyfuse 3A o glass 3A/250V</t>
  </si>
  <si>
    <t>Corrente picco domina RPi 1.3A; margine x1.5→2A, x2→3A</t>
  </si>
  <si>
    <t>5V Rail Servo</t>
  </si>
  <si>
    <t>6× servomotori</t>
  </si>
  <si>
    <t>≥ 5A — es. polyfuse 5A o blade 5A</t>
  </si>
  <si>
    <t>Picco 6×0.65=3.9A; fusibile 5A+margine</t>
  </si>
  <si>
    <t>5V Rail ESP32 + Sensori</t>
  </si>
  <si>
    <t>2× ESP32 + 6× HC-SR04 + 3× TCRT5000</t>
  </si>
  <si>
    <t>≥ 2A — es. polyfuse 2A</t>
  </si>
  <si>
    <t>Picco ESP32 burst; sensori bassi</t>
  </si>
  <si>
    <t>5V USB Display</t>
  </si>
  <si>
    <t>≥ 1.5A — es. polyfuse 1.5A</t>
  </si>
  <si>
    <t>USB dedicato; protezione leggera</t>
  </si>
  <si>
    <t>12V Rail Motori</t>
  </si>
  <si>
    <t>4× JGA25-370 + 2× TB6612</t>
  </si>
  <si>
    <t>≥ 8A — es. blade 10A auto o fusibile glass 10A</t>
  </si>
  <si>
    <t>Picco stallo 4×1.3=5.2A; x2 margine→10A. Nota: PDF Seeed dà 2.2A stallo→17.6A worst case!</t>
  </si>
  <si>
    <t>⚡  TOTALE CONSUMO ROBOT (tutti i rail)</t>
  </si>
  <si>
    <t>⬆ Watts assorbiti dalla LiPo 3S (considera eff. buck ~85%)</t>
  </si>
  <si>
    <t xml:space="preserve">  STIMA AUTONOMIA BATTERIA (modifica cella gialla per la capacità)</t>
  </si>
  <si>
    <t>Capacità LiPo 3S</t>
  </si>
  <si>
    <t>mAh</t>
  </si>
  <si>
    <t>← MODIFICA QUI la capacità della tua batteria</t>
  </si>
  <si>
    <t>Tensione nominale LiPo</t>
  </si>
  <si>
    <t>V (3S nominal)</t>
  </si>
  <si>
    <t>Efficienza buck converter</t>
  </si>
  <si>
    <t>% (tipico 85%)</t>
  </si>
  <si>
    <t>Capacità utile (80% DoD)</t>
  </si>
  <si>
    <t>mAh effettivi</t>
  </si>
  <si>
    <t>Energia utile batteria</t>
  </si>
  <si>
    <t>Wh utili</t>
  </si>
  <si>
    <t>Autonomia @ consumo tipico</t>
  </si>
  <si>
    <t>minuti</t>
  </si>
  <si>
    <t>Autonomia @ consumo picco</t>
  </si>
  <si>
    <t>minuti (worst case)</t>
  </si>
  <si>
    <t xml:space="preserve">  ⚠️  AVVISI IMPORTANTI</t>
  </si>
  <si>
    <t>⚠️  TB6612FNG: VM max 15V → ok per LiPo 3S (12.6V a piena carica) ma con margine ridotto. NON usare DRV8833 (VM max 10.8V).</t>
  </si>
  <si>
    <t>⚠️  Motori JGA25-370: datasheet Seeed PDF indica stallo 2.2A vs 1.3A della tabella immagine. Con 2.2A stallo → picco 4×2.2=8.8A sul rail 12V. Misurare stallo reale prima di scegliere fusibile definitivo.</t>
  </si>
  <si>
    <t>⚠️  Protezione inversione polarità LiPo: preferire MOSFET P-channel (es. DMP2045U) a diodo Schottky — a 5A+ un diodo SS54 dissipa ~1.5W. Il MOSFET ideal diode ha V_ds quasi zero.</t>
  </si>
  <si>
    <t>⚠️  Buck converter: efficienza reale varia con carico. A carico leggero (&lt;20%) efficienza può scendere sotto 80%. Prevedi dissipatori sul main buck 12V→5V se I &gt; 3A continui.</t>
  </si>
  <si>
    <t>⚠️  TB6612FNG limite: 1.2A continui per canale, stallo 3A brevissimo. Con motori da 1.3A stallo sei al limite. Valuta limitazione corrente via PWM o dissipatori se stalli frequenti.</t>
  </si>
  <si>
    <t>🛡️  SCHEMA PROTEZIONE — Fusibili, Diodi, Buck Converter</t>
  </si>
  <si>
    <t xml:space="preserve">  📐  TOPOLOGIA ALIMENTAZIONE (percorso corrente LiPo → componenti)</t>
  </si>
  <si>
    <t>LiPo 3S  →  [Fusibile principale 10A]  →  [MOSFET P-ch protezione inversione polarità]  →  BUS 12V</t>
  </si>
  <si>
    <t>BUS 12V  →  [Fusibile rail 12V: 8A blade auto]  →  VM driver TB6612 (×2)  →  motori JGA25-370 (×4)</t>
  </si>
  <si>
    <t>BUS 12V  →  [Fusibile 3A]  →  Buck XL4015 #1 → 5V  →  [Fusibile 2A polyfuse]  →  RPi 4 + ReSpeaker + MPU6050</t>
  </si>
  <si>
    <t>BUS 12V  →  [Fusibile 3A]  →  Buck XL4015 #3 → 5V  →  [Fusibile 2A polyfuse]  →  2× ESP32 + sensori</t>
  </si>
  <si>
    <t>BUS 12V  →  [Fusibile 2A]  →  Buck XL4015 #4 → 5V  →  USB-A femmina PCB  →  Monitor 7" IPS</t>
  </si>
  <si>
    <t>NOTA: i buck XL4015 da 5A sono adatti a tutti questi rail. Imposta Vout con potenziometro PRIMA di collegare il carico!</t>
  </si>
  <si>
    <t>Rail / Punto</t>
  </si>
  <si>
    <t>Tipo fusibile</t>
  </si>
  <si>
    <t>Valore</t>
  </si>
  <si>
    <t>Corrente max attesa</t>
  </si>
  <si>
    <t>Componente specifico</t>
  </si>
  <si>
    <t>Perché / Note tecniche</t>
  </si>
  <si>
    <t>Principale LiPo
(prima di tutto)</t>
  </si>
  <si>
    <t>Blade auto / glass</t>
  </si>
  <si>
    <t>10A</t>
  </si>
  <si>
    <t>~8A picco motori stallo</t>
  </si>
  <si>
    <t>Blade auto 10A o MTA 10A</t>
  </si>
  <si>
    <t>Prima linea di difesa. Protegge da cortocircuito sull'intero bus 12V. Con motori da 1.3A stallo (tabella) il picco è 5.2A → 10A dà margine x1.9. Se usi valori Seeed PDF (2.2A stallo) picco 8.8A → tieni 10A come minimo assoluto.</t>
  </si>
  <si>
    <t>MOSFET protezione
inversione polarità</t>
  </si>
  <si>
    <t>MOSFET P-ch ideal diode</t>
  </si>
  <si>
    <t>10A+ continui</t>
  </si>
  <si>
    <t>DMP2045U o IRF9540N
(gate a GND, source a +LiPo)</t>
  </si>
  <si>
    <t>NON usare un diodo Schottky qui: a 8A picco un SS54 (0.55V forward) dissipa 4.4W → si scalda troppo. Il MOSFET P-ch ha R_ds(on) ~20mΩ → a 8A dissipa solo 1.3W e non cade tensione utile.</t>
  </si>
  <si>
    <t>Rail 12V motori
(dopo MOSFET, prima dei driver)</t>
  </si>
  <si>
    <t>8-10A</t>
  </si>
  <si>
    <t>5.2A picco (1.3A×4 stallo)</t>
  </si>
  <si>
    <t>Blade auto 10A  — oppure MTA 10A</t>
  </si>
  <si>
    <t>Protegge i driver TB6612 e i motori. Attenzione: se i motori sono quelli del PDF Seeed (stallo 2.2A) il picco diventa 8.8A → un fusibile 8A salterebbe in stallo. Consiglio: usa 10A e limita la corrente via PWM firmware.</t>
  </si>
  <si>
    <t>Buck #1 → 5V RPi
(ingresso 12V)</t>
  </si>
  <si>
    <t>Polyfuse resettabile</t>
  </si>
  <si>
    <t>3A</t>
  </si>
  <si>
    <t>1.3A picco RPi + 0.1A resto</t>
  </si>
  <si>
    <t>Polyfuse Bourns MF-R300 o simile</t>
  </si>
  <si>
    <t>Protegge il buck e il cablaggio. Margine x2 su corrente picco RPi. Il polyfuse è comodo: si resetta da solo dopo un cortocircuito.</t>
  </si>
  <si>
    <t>Buck #1 → 5V RPi
(uscita 5V, lato RPi)</t>
  </si>
  <si>
    <t>2A</t>
  </si>
  <si>
    <t>~1.5A worst case</t>
  </si>
  <si>
    <t>Polyfuse MF-R200 o simile</t>
  </si>
  <si>
    <t>Protezione ravvicinata al connettore RPi GPIO. Se il RPi va in cortocircuito isola solo questo rail senza bruciare il buck.</t>
  </si>
  <si>
    <t>Buck #2 → 5V Servo
(ingresso 12V)</t>
  </si>
  <si>
    <t>Polyfuse / blade</t>
  </si>
  <si>
    <t>6A</t>
  </si>
  <si>
    <t>3.9A picco (6×0.65A)</t>
  </si>
  <si>
    <t>Blade 5A o polyfuse Bourns 5A</t>
  </si>
  <si>
    <t>Picco reale dipende molto dai servo. Con 6 servo in stallo contemporaneo → 3.9A. Fusibile 5A con margine minimo; considera 6A se i servo sono potenti.</t>
  </si>
  <si>
    <t>Buck #3 → 5V ESP32
(ingresso 12V)</t>
  </si>
  <si>
    <t>0.9A picco burst WiFi ×2</t>
  </si>
  <si>
    <t>Polyfuse MF-R300 o simile</t>
  </si>
  <si>
    <t>ESP32 in burst TX WiFi: 350mA×2=700mA + sensori ~200mA = ~0.9A. Fusibile 3A con ampio margine.</t>
  </si>
  <si>
    <t>Buck #4 → 5V USB Display
(ingresso 12V)</t>
  </si>
  <si>
    <t>~0.9A picco display</t>
  </si>
  <si>
    <t>Display ~5W = 1A su 5V. Piccolo fusibile dedicato, il display non deve causare blackout al resto del sistema.</t>
  </si>
  <si>
    <t xml:space="preserve">  🔧  COME IMPOSTARE I BUCK XL4015 (dal prodotto allegato)</t>
  </si>
  <si>
    <t>⚙️  Procedura setup XL4015 (FALLO SEMPRE A VUOTO, senza carico!):</t>
  </si>
  <si>
    <t>1. Alimenta il modulo con 12V (LiPo o alimentatore) ma NON collegare ancora il carico (RPi, servo, ecc.)</t>
  </si>
  <si>
    <t>2. Con un multimetro su Vout, gira il potenziometro BLU (tensione) fino a leggere 5.00V esatti (o 6.0V per servo se usi 6V)</t>
  </si>
  <si>
    <t>3. Se il modulo ha anche il potenziometro di corrente (versione 'With Voltmeter' = CC/CV): imposta la corrente limite PRIMA girando il pot ROSSO con un carico fittizio (es. resistenza), altrimenti lascialo al massimo</t>
  </si>
  <si>
    <t>4. Solo dopo aver impostato la tensione, collega il carico.</t>
  </si>
  <si>
    <t>5. Verifica la tensione di uscita sotto carico: non deve scendere sotto 4.85V per il RPi (il RPi è sensibile a undervoltage!)</t>
  </si>
  <si>
    <t>⚠️  ATTENZIONE: il modulo XL4015 NON è isolato galvanicamente. Tutti i rail 5V condividono lo stesso GND del bus 12V → normale per questo tipo di progetto, ma tienilo a mente per debug.</t>
  </si>
  <si>
    <t>💡  TIP: il voltmetro integrato ('With Voltmeter') mostra sia Vin che Vout — molto comodo per monitorare lo stato della LiPo durante il funzionamento.</t>
  </si>
  <si>
    <t xml:space="preserve">  ⚠️  PROBLEMI NOTI E RISCHI DA GESTIRE</t>
  </si>
  <si>
    <t>🔴 CRITICO — Discrepanza datasheet motori</t>
  </si>
  <si>
    <t>Il PDF Seeed dà stallo 2.2A/motore; la tabella immagine (più affidabile secondo te) dà 1.3A. Se i motori sono da 2.2A: picco stallo 4×2.2=8.8A sul rail 12V. Il fusibile 8A SALTA. Misura la corrente di stallo reale con un tester PRIMA di saldare. Procedura: blocca fisicamente l'asse del motore, alimenta 12V, misura la corrente con amperometro in serie.</t>
  </si>
  <si>
    <t>🔴 CRITICO — TB6612FNG al limite di corrente</t>
  </si>
  <si>
    <t>Il TB6612 regge 1.2A continui per canale, 3A brevissimo in stallo. Con motori da 1.3A stallo sei oltre il limite continuo. Soluzioni: (a) limita la corrente massima via PWM nel firmware ESP32, (b) metti dissipatori sul TB6612, (c) usa driver più robusti come il VNH5019 (2.8A continui, 14A picco).</t>
  </si>
  <si>
    <t>🟡 ATTENZIONE — LiPo 3S e DRV8833</t>
  </si>
  <si>
    <t>Il DRV8833 ha VM max 10.8V: NON collegarlo mai direttamente al bus 12V (LiPo 3S max 12.6V). Se hai già ordinato DRV8833, metti un buck 12V→9V dedicato prima di lui, oppure sostituiscilo con TB6612FNG.</t>
  </si>
  <si>
    <t>🟡 ATTENZIONE — Tensione LiPo variabile</t>
  </si>
  <si>
    <t>La LiPo 3S varia da 12.6V (piena) a ~9.6V (scarica). Il TB6612 su VM 12V diretto: ok. I buck XL4015 supportano Vin da 4V a 38V: ok. Ma monitora la LiPo! A &lt;9.9V (3.3V/cella) dovresti fermare il robot per non danneggiare le celle.</t>
  </si>
  <si>
    <t>🟢 INFO — Nessun isolamento galvanico tra rail 5V</t>
  </si>
  <si>
    <t>Tutti i GND sono comuni. Se misuri con oscilloscopio potresti vedere rumore dai motori sui rail logici. Aggiungi condensatori di decoupling (100µF elettrolitico + 100nF ceramico) vicino ai connettori di alimentazione di RPi ed ESP32.</t>
  </si>
  <si>
    <t>BUS 12V  →  [Fusibile 6A]  →  Buck XL4015 #2 → 6V  →  [Fusibile 5A polyfuse]  →  6× Servomotori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</si>
</sst>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3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sz val="9"/>
      <color rgb="FF000000"/>
      <name val="Arial"/>
      <charset val="1"/>
    </font>
    <font>
      <b/>
      <sz val="12"/>
      <color rgb="FFFFFFFF"/>
      <name val="Arial"/>
      <charset val="1"/>
    </font>
    <font>
      <b/>
      <sz val="10"/>
      <color rgb="FF000000"/>
      <name val="Arial"/>
      <charset val="1"/>
    </font>
    <font>
      <sz val="10"/>
      <name val="Arial"/>
      <charset val="1"/>
    </font>
    <font>
      <b/>
      <sz val="9"/>
      <color rgb="FF7F3F00"/>
      <name val="Arial"/>
      <charset val="1"/>
    </font>
    <font>
      <sz val="8"/>
      <color rgb="FF000000"/>
      <name val="Arial"/>
      <charset val="1"/>
    </font>
    <font>
      <b/>
      <sz val="12"/>
      <color rgb="FF7F3F00"/>
      <name val="Arial"/>
      <charset val="1"/>
    </font>
    <font>
      <b/>
      <sz val="11"/>
      <color rgb="FF7F3F00"/>
      <name val="Arial"/>
      <charset val="1"/>
    </font>
    <font>
      <b/>
      <sz val="11"/>
      <color rgb="FF0000FF"/>
      <name val="Arial"/>
      <charset val="1"/>
    </font>
    <font>
      <sz val="9"/>
      <color rgb="FF7F3F00"/>
      <name val="Arial"/>
      <charset val="1"/>
    </font>
    <font>
      <b/>
      <sz val="11"/>
      <color rgb="FF000000"/>
      <name val="Arial"/>
      <charset val="1"/>
    </font>
    <font>
      <b/>
      <sz val="13"/>
      <color rgb="FFFFFFFF"/>
      <name val="Arial"/>
      <charset val="1"/>
    </font>
    <font>
      <b/>
      <sz val="10"/>
      <color rgb="FF1F4E79"/>
      <name val="Arial"/>
      <charset val="1"/>
    </font>
    <font>
      <sz val="10"/>
      <color rgb="FF1F4E79"/>
      <name val="Arial"/>
      <charset val="1"/>
    </font>
    <font>
      <b/>
      <i/>
      <sz val="9"/>
      <color rgb="FF7F3F00"/>
      <name val="Arial"/>
      <charset val="1"/>
    </font>
    <font>
      <b/>
      <sz val="10"/>
      <color rgb="FFFFFFFF"/>
      <name val="Arial"/>
      <charset val="1"/>
    </font>
    <font>
      <b/>
      <sz val="9"/>
      <color rgb="FF000000"/>
      <name val="Arial"/>
      <charset val="1"/>
    </font>
  </fonts>
  <fills count="23">
    <fill>
      <patternFill patternType="none"/>
    </fill>
    <fill>
      <patternFill patternType="gray125"/>
    </fill>
    <fill>
      <patternFill patternType="solid">
        <fgColor rgb="FF1F4E79"/>
        <bgColor rgb="FF2C4770"/>
      </patternFill>
    </fill>
    <fill>
      <patternFill patternType="solid">
        <fgColor rgb="FF2E75B6"/>
        <bgColor rgb="FF4472C4"/>
      </patternFill>
    </fill>
    <fill>
      <patternFill patternType="solid">
        <fgColor rgb="FFD6E4F0"/>
        <bgColor rgb="FFE2EFDA"/>
      </patternFill>
    </fill>
    <fill>
      <patternFill patternType="solid">
        <fgColor rgb="FF375623"/>
        <bgColor rgb="FF2E4057"/>
      </patternFill>
    </fill>
    <fill>
      <patternFill patternType="solid">
        <fgColor rgb="FFE2EFDA"/>
        <bgColor rgb="FFF2F2F2"/>
      </patternFill>
    </fill>
    <fill>
      <patternFill patternType="solid">
        <fgColor rgb="FF7030A0"/>
        <bgColor rgb="FF993366"/>
      </patternFill>
    </fill>
    <fill>
      <patternFill patternType="solid">
        <fgColor rgb="FFEAD1F5"/>
        <bgColor rgb="FFD6E4F0"/>
      </patternFill>
    </fill>
    <fill>
      <patternFill patternType="solid">
        <fgColor rgb="FFC00000"/>
        <bgColor rgb="FF800000"/>
      </patternFill>
    </fill>
    <fill>
      <patternFill patternType="solid">
        <fgColor rgb="FFFCE4D6"/>
        <bgColor rgb="FFFFF2CC"/>
      </patternFill>
    </fill>
    <fill>
      <patternFill patternType="solid">
        <fgColor rgb="FFED7D31"/>
        <bgColor rgb="FFFF8080"/>
      </patternFill>
    </fill>
    <fill>
      <patternFill patternType="solid">
        <fgColor rgb="FF2C4770"/>
        <bgColor rgb="FF1F4E79"/>
      </patternFill>
    </fill>
    <fill>
      <patternFill patternType="solid">
        <fgColor rgb="FFEBF3FB"/>
        <bgColor rgb="FFF2F2F2"/>
      </patternFill>
    </fill>
    <fill>
      <patternFill patternType="solid">
        <fgColor rgb="FFFFF2CC"/>
        <bgColor rgb="FFFFF9C4"/>
      </patternFill>
    </fill>
    <fill>
      <patternFill patternType="solid">
        <fgColor rgb="FFFFD966"/>
        <bgColor rgb="FFFFCC00"/>
      </patternFill>
    </fill>
    <fill>
      <patternFill patternType="solid">
        <fgColor rgb="FF4472C4"/>
        <bgColor rgb="FF2E75B6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BF3FB"/>
      </patternFill>
    </fill>
    <fill>
      <patternFill patternType="solid">
        <fgColor rgb="FF2E4057"/>
        <bgColor rgb="FF2C4770"/>
      </patternFill>
    </fill>
    <fill>
      <patternFill patternType="solid">
        <fgColor rgb="FFFFFFFF"/>
        <bgColor rgb="FFFAFAFA"/>
      </patternFill>
    </fill>
    <fill>
      <patternFill patternType="solid">
        <fgColor rgb="FFFFF9C4"/>
        <bgColor rgb="FFFFF2CC"/>
      </patternFill>
    </fill>
    <fill>
      <patternFill patternType="solid">
        <fgColor rgb="FFFAFAFA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 wrapText="1"/>
    </xf>
    <xf numFmtId="164" fontId="9" fillId="13" borderId="1" xfId="0" applyNumberFormat="1" applyFont="1" applyFill="1" applyBorder="1" applyAlignment="1">
      <alignment horizontal="center" vertical="center"/>
    </xf>
    <xf numFmtId="165" fontId="4" fillId="13" borderId="1" xfId="0" applyNumberFormat="1" applyFont="1" applyFill="1" applyBorder="1" applyAlignment="1">
      <alignment horizontal="center" vertical="center"/>
    </xf>
    <xf numFmtId="2" fontId="4" fillId="13" borderId="1" xfId="0" applyNumberFormat="1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left" vertical="center" wrapText="1"/>
    </xf>
    <xf numFmtId="0" fontId="13" fillId="15" borderId="1" xfId="0" applyFont="1" applyFill="1" applyBorder="1" applyAlignment="1">
      <alignment horizontal="center" vertical="center"/>
    </xf>
    <xf numFmtId="2" fontId="12" fillId="15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" fontId="14" fillId="17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9" fontId="5" fillId="0" borderId="1" xfId="0" applyNumberFormat="1" applyFont="1" applyBorder="1" applyAlignment="1">
      <alignment horizontal="center"/>
    </xf>
    <xf numFmtId="1" fontId="4" fillId="18" borderId="1" xfId="0" applyNumberFormat="1" applyFont="1" applyFill="1" applyBorder="1" applyAlignment="1">
      <alignment horizontal="center" vertical="center"/>
    </xf>
    <xf numFmtId="2" fontId="4" fillId="18" borderId="1" xfId="0" applyNumberFormat="1" applyFont="1" applyFill="1" applyBorder="1" applyAlignment="1">
      <alignment horizontal="center" vertical="center"/>
    </xf>
    <xf numFmtId="164" fontId="16" fillId="6" borderId="1" xfId="0" applyNumberFormat="1" applyFont="1" applyFill="1" applyBorder="1" applyAlignment="1">
      <alignment horizontal="center" vertical="center"/>
    </xf>
    <xf numFmtId="164" fontId="16" fillId="10" borderId="1" xfId="0" applyNumberFormat="1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left" vertical="center"/>
    </xf>
    <xf numFmtId="0" fontId="22" fillId="14" borderId="1" xfId="0" applyFont="1" applyFill="1" applyBorder="1" applyAlignment="1">
      <alignment horizontal="left" vertical="center"/>
    </xf>
    <xf numFmtId="0" fontId="22" fillId="6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22" borderId="1" xfId="0" applyFont="1" applyFill="1" applyBorder="1" applyAlignment="1">
      <alignment horizontal="left" vertical="center" wrapText="1"/>
    </xf>
    <xf numFmtId="0" fontId="22" fillId="14" borderId="1" xfId="0" applyFont="1" applyFill="1" applyBorder="1" applyAlignment="1">
      <alignment horizontal="left" vertical="center" wrapText="1"/>
    </xf>
    <xf numFmtId="0" fontId="22" fillId="10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3" fillId="9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22" fillId="21" borderId="1" xfId="0" applyFont="1" applyFill="1" applyBorder="1" applyAlignment="1">
      <alignment horizontal="left" vertical="center" wrapText="1"/>
    </xf>
    <xf numFmtId="0" fontId="19" fillId="13" borderId="1" xfId="0" applyFont="1" applyFill="1" applyBorder="1" applyAlignment="1">
      <alignment horizontal="left" vertical="center" wrapText="1"/>
    </xf>
    <xf numFmtId="0" fontId="19" fillId="4" borderId="1" xfId="0" applyFont="1" applyFill="1" applyBorder="1" applyAlignment="1">
      <alignment horizontal="left" vertical="center" wrapText="1"/>
    </xf>
    <xf numFmtId="0" fontId="0" fillId="20" borderId="1" xfId="0" applyFill="1" applyBorder="1" applyAlignment="1">
      <alignment horizontal="left" vertical="center" wrapText="1"/>
    </xf>
    <xf numFmtId="0" fontId="20" fillId="14" borderId="1" xfId="0" applyFont="1" applyFill="1" applyBorder="1" applyAlignment="1">
      <alignment horizontal="left" vertical="center" wrapText="1"/>
    </xf>
    <xf numFmtId="0" fontId="17" fillId="2" borderId="0" xfId="0" applyFont="1" applyFill="1" applyAlignment="1">
      <alignment horizontal="center" vertical="center"/>
    </xf>
    <xf numFmtId="0" fontId="3" fillId="19" borderId="0" xfId="0" applyFont="1" applyFill="1" applyAlignment="1">
      <alignment horizontal="left" vertical="center"/>
    </xf>
    <xf numFmtId="0" fontId="18" fillId="4" borderId="1" xfId="0" applyFont="1" applyFill="1" applyBorder="1" applyAlignment="1">
      <alignment horizontal="left" vertical="center" wrapText="1"/>
    </xf>
    <xf numFmtId="0" fontId="15" fillId="14" borderId="2" xfId="0" applyFont="1" applyFill="1" applyBorder="1" applyAlignment="1">
      <alignment horizontal="left" vertical="center" wrapText="1"/>
    </xf>
    <xf numFmtId="0" fontId="3" fillId="16" borderId="2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left" vertical="center" wrapText="1"/>
    </xf>
    <xf numFmtId="0" fontId="3" fillId="9" borderId="2" xfId="0" applyFont="1" applyFill="1" applyBorder="1" applyAlignment="1">
      <alignment horizontal="left" vertical="center"/>
    </xf>
    <xf numFmtId="0" fontId="3" fillId="11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12" fillId="15" borderId="2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9C4"/>
      <rgbColor rgb="FFEBF3FB"/>
      <rgbColor rgb="FF660066"/>
      <rgbColor rgb="FFFF8080"/>
      <rgbColor rgb="FF2E75B6"/>
      <rgbColor rgb="FFEAD1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FF2CC"/>
      <rgbColor rgb="FFF2F2F2"/>
      <rgbColor rgb="FFFCE4D6"/>
      <rgbColor rgb="FFFAFAFA"/>
      <rgbColor rgb="FFFFD966"/>
      <rgbColor rgb="FF4472C4"/>
      <rgbColor rgb="FF33CCCC"/>
      <rgbColor rgb="FF99CC00"/>
      <rgbColor rgb="FFFFCC00"/>
      <rgbColor rgb="FFFF9900"/>
      <rgbColor rgb="FFED7D31"/>
      <rgbColor rgb="FF595959"/>
      <rgbColor rgb="FF969696"/>
      <rgbColor rgb="FF1F4E79"/>
      <rgbColor rgb="FF339966"/>
      <rgbColor rgb="FF003300"/>
      <rgbColor rgb="FF375623"/>
      <rgbColor rgb="FF7F3F00"/>
      <rgbColor rgb="FF993366"/>
      <rgbColor rgb="FF2C4770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zoomScaleNormal="100" workbookViewId="0">
      <pane ySplit="3" topLeftCell="A12" activePane="bottomLeft" state="frozen"/>
      <selection pane="bottomLeft" activeCell="G30" sqref="G30"/>
    </sheetView>
  </sheetViews>
  <sheetFormatPr defaultColWidth="8.6640625" defaultRowHeight="14.4" x14ac:dyDescent="0.3"/>
  <cols>
    <col min="1" max="1" width="28" customWidth="1"/>
    <col min="2" max="2" width="22" customWidth="1"/>
    <col min="3" max="3" width="10" customWidth="1"/>
    <col min="4" max="6" width="16" customWidth="1"/>
    <col min="7" max="8" width="18" customWidth="1"/>
    <col min="9" max="9" width="40" customWidth="1"/>
  </cols>
  <sheetData>
    <row r="1" spans="1:9" ht="30" customHeight="1" x14ac:dyDescent="0.3">
      <c r="A1" s="70" t="s">
        <v>0</v>
      </c>
      <c r="B1" s="70"/>
      <c r="C1" s="70"/>
      <c r="D1" s="70"/>
      <c r="E1" s="70"/>
      <c r="F1" s="70"/>
      <c r="G1" s="70"/>
      <c r="H1" s="70"/>
      <c r="I1" s="70"/>
    </row>
    <row r="2" spans="1:9" ht="18" customHeight="1" x14ac:dyDescent="0.3">
      <c r="A2" s="71" t="s">
        <v>1</v>
      </c>
      <c r="B2" s="71"/>
      <c r="C2" s="71"/>
      <c r="D2" s="71"/>
      <c r="E2" s="71"/>
      <c r="F2" s="71"/>
      <c r="G2" s="71"/>
      <c r="H2" s="71"/>
      <c r="I2" s="71"/>
    </row>
    <row r="3" spans="1:9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ht="18" customHeight="1" x14ac:dyDescent="0.3">
      <c r="A4" s="72" t="s">
        <v>11</v>
      </c>
      <c r="B4" s="72"/>
      <c r="C4" s="72"/>
      <c r="D4" s="72"/>
      <c r="E4" s="72"/>
      <c r="F4" s="72"/>
      <c r="G4" s="72"/>
      <c r="H4" s="72"/>
      <c r="I4" s="72"/>
    </row>
    <row r="5" spans="1:9" ht="21.75" customHeight="1" x14ac:dyDescent="0.3">
      <c r="A5" s="2" t="s">
        <v>12</v>
      </c>
      <c r="B5" s="3" t="s">
        <v>13</v>
      </c>
      <c r="C5" s="4">
        <v>1</v>
      </c>
      <c r="D5" s="5">
        <v>5</v>
      </c>
      <c r="E5" s="6">
        <v>0.6</v>
      </c>
      <c r="F5" s="6">
        <v>1.3</v>
      </c>
      <c r="G5" s="7">
        <f>C5*D5*E5</f>
        <v>3</v>
      </c>
      <c r="H5" s="7">
        <f>C5*D5*F5</f>
        <v>6.5</v>
      </c>
      <c r="I5" s="8" t="s">
        <v>14</v>
      </c>
    </row>
    <row r="6" spans="1:9" ht="21.75" customHeight="1" x14ac:dyDescent="0.3">
      <c r="A6" s="2" t="s">
        <v>15</v>
      </c>
      <c r="B6" s="3" t="s">
        <v>16</v>
      </c>
      <c r="C6" s="4">
        <v>1</v>
      </c>
      <c r="D6" s="5">
        <v>5</v>
      </c>
      <c r="E6" s="6">
        <v>0.05</v>
      </c>
      <c r="F6" s="6">
        <v>0.1</v>
      </c>
      <c r="G6" s="7">
        <f>C6*D6*E6</f>
        <v>0.25</v>
      </c>
      <c r="H6" s="7">
        <f>C6*D6*F6</f>
        <v>0.5</v>
      </c>
      <c r="I6" s="8" t="s">
        <v>17</v>
      </c>
    </row>
    <row r="7" spans="1:9" ht="21.75" customHeight="1" x14ac:dyDescent="0.3">
      <c r="A7" s="2" t="s">
        <v>18</v>
      </c>
      <c r="B7" s="3" t="s">
        <v>19</v>
      </c>
      <c r="C7" s="4">
        <v>1</v>
      </c>
      <c r="D7" s="5">
        <v>3.3</v>
      </c>
      <c r="E7" s="6">
        <v>4.0000000000000001E-3</v>
      </c>
      <c r="F7" s="6">
        <v>6.0000000000000001E-3</v>
      </c>
      <c r="G7" s="7">
        <f>C7*D7*E7</f>
        <v>1.32E-2</v>
      </c>
      <c r="H7" s="7">
        <f>C7*D7*F7</f>
        <v>1.9799999999999998E-2</v>
      </c>
      <c r="I7" s="8" t="s">
        <v>20</v>
      </c>
    </row>
    <row r="8" spans="1:9" ht="18" customHeight="1" x14ac:dyDescent="0.3">
      <c r="A8" s="73" t="s">
        <v>21</v>
      </c>
      <c r="B8" s="73"/>
      <c r="C8" s="73"/>
      <c r="D8" s="73"/>
      <c r="E8" s="73"/>
      <c r="F8" s="73"/>
      <c r="G8" s="73"/>
      <c r="H8" s="73"/>
      <c r="I8" s="73"/>
    </row>
    <row r="9" spans="1:9" ht="21.75" customHeight="1" x14ac:dyDescent="0.3">
      <c r="A9" s="9" t="s">
        <v>22</v>
      </c>
      <c r="B9" s="10" t="s">
        <v>23</v>
      </c>
      <c r="C9" s="4">
        <v>6</v>
      </c>
      <c r="D9" s="5">
        <v>5</v>
      </c>
      <c r="E9" s="6">
        <v>0.1</v>
      </c>
      <c r="F9" s="6">
        <v>0.65</v>
      </c>
      <c r="G9" s="7">
        <f>C9*D9*E9</f>
        <v>3</v>
      </c>
      <c r="H9" s="7">
        <f>C9*D9*F9</f>
        <v>19.5</v>
      </c>
      <c r="I9" s="11" t="s">
        <v>24</v>
      </c>
    </row>
    <row r="10" spans="1:9" ht="18" customHeight="1" x14ac:dyDescent="0.3">
      <c r="A10" s="74" t="s">
        <v>25</v>
      </c>
      <c r="B10" s="74"/>
      <c r="C10" s="74"/>
      <c r="D10" s="74"/>
      <c r="E10" s="74"/>
      <c r="F10" s="74"/>
      <c r="G10" s="74"/>
      <c r="H10" s="74"/>
      <c r="I10" s="74"/>
    </row>
    <row r="11" spans="1:9" ht="21.75" customHeight="1" x14ac:dyDescent="0.3">
      <c r="A11" s="12" t="s">
        <v>26</v>
      </c>
      <c r="B11" s="13" t="s">
        <v>27</v>
      </c>
      <c r="C11" s="4">
        <v>2</v>
      </c>
      <c r="D11" s="5">
        <v>5</v>
      </c>
      <c r="E11" s="6">
        <v>0.1</v>
      </c>
      <c r="F11" s="6">
        <v>0.35</v>
      </c>
      <c r="G11" s="7">
        <f>C11*D11*E11</f>
        <v>1</v>
      </c>
      <c r="H11" s="7">
        <f>C11*D11*F11</f>
        <v>3.5</v>
      </c>
      <c r="I11" s="14" t="s">
        <v>28</v>
      </c>
    </row>
    <row r="12" spans="1:9" ht="21.75" customHeight="1" x14ac:dyDescent="0.3">
      <c r="A12" s="12" t="s">
        <v>29</v>
      </c>
      <c r="B12" s="13" t="s">
        <v>30</v>
      </c>
      <c r="C12" s="4">
        <v>6</v>
      </c>
      <c r="D12" s="5">
        <v>5</v>
      </c>
      <c r="E12" s="6">
        <v>1.4999999999999999E-2</v>
      </c>
      <c r="F12" s="6">
        <v>1.4999999999999999E-2</v>
      </c>
      <c r="G12" s="7">
        <f>C12*D12*E12</f>
        <v>0.44999999999999996</v>
      </c>
      <c r="H12" s="7">
        <f>C12*D12*F12</f>
        <v>0.44999999999999996</v>
      </c>
      <c r="I12" s="14" t="s">
        <v>31</v>
      </c>
    </row>
    <row r="13" spans="1:9" ht="21.75" customHeight="1" x14ac:dyDescent="0.3">
      <c r="A13" s="12" t="s">
        <v>32</v>
      </c>
      <c r="B13" s="13" t="s">
        <v>30</v>
      </c>
      <c r="C13" s="4">
        <v>3</v>
      </c>
      <c r="D13" s="5">
        <v>5</v>
      </c>
      <c r="E13" s="6">
        <v>0.02</v>
      </c>
      <c r="F13" s="6">
        <v>0.02</v>
      </c>
      <c r="G13" s="7">
        <f>C13*D13*E13</f>
        <v>0.3</v>
      </c>
      <c r="H13" s="7">
        <f>C13*D13*F13</f>
        <v>0.3</v>
      </c>
      <c r="I13" s="14" t="s">
        <v>33</v>
      </c>
    </row>
    <row r="14" spans="1:9" ht="18" customHeight="1" x14ac:dyDescent="0.3">
      <c r="A14" s="64" t="s">
        <v>34</v>
      </c>
      <c r="B14" s="64"/>
      <c r="C14" s="64"/>
      <c r="D14" s="64"/>
      <c r="E14" s="64"/>
      <c r="F14" s="64"/>
      <c r="G14" s="64"/>
      <c r="H14" s="64"/>
      <c r="I14" s="64"/>
    </row>
    <row r="15" spans="1:9" ht="21.75" customHeight="1" x14ac:dyDescent="0.3">
      <c r="A15" s="15" t="s">
        <v>35</v>
      </c>
      <c r="B15" s="16" t="s">
        <v>36</v>
      </c>
      <c r="C15" s="4">
        <v>4</v>
      </c>
      <c r="D15" s="5">
        <v>12</v>
      </c>
      <c r="E15" s="6">
        <v>0.45</v>
      </c>
      <c r="F15" s="6">
        <v>1.3</v>
      </c>
      <c r="G15" s="7">
        <f>C15*D15*E15</f>
        <v>21.6</v>
      </c>
      <c r="H15" s="7">
        <f>C15*D15*F15</f>
        <v>62.400000000000006</v>
      </c>
      <c r="I15" s="17" t="s">
        <v>37</v>
      </c>
    </row>
    <row r="16" spans="1:9" ht="21.75" customHeight="1" x14ac:dyDescent="0.3">
      <c r="A16" s="15" t="s">
        <v>38</v>
      </c>
      <c r="B16" s="16" t="s">
        <v>39</v>
      </c>
      <c r="C16" s="4">
        <v>2</v>
      </c>
      <c r="D16" s="5">
        <v>5</v>
      </c>
      <c r="E16" s="6">
        <v>0.01</v>
      </c>
      <c r="F16" s="6">
        <v>0.02</v>
      </c>
      <c r="G16" s="7">
        <f>C16*D16*E16</f>
        <v>0.1</v>
      </c>
      <c r="H16" s="7">
        <f>C16*D16*F16</f>
        <v>0.2</v>
      </c>
      <c r="I16" s="17" t="s">
        <v>40</v>
      </c>
    </row>
    <row r="17" spans="1:9" ht="18" customHeight="1" x14ac:dyDescent="0.3">
      <c r="A17" s="65" t="s">
        <v>41</v>
      </c>
      <c r="B17" s="65"/>
      <c r="C17" s="65"/>
      <c r="D17" s="65"/>
      <c r="E17" s="65"/>
      <c r="F17" s="65"/>
      <c r="G17" s="65"/>
      <c r="H17" s="65"/>
      <c r="I17" s="65"/>
    </row>
    <row r="18" spans="1:9" ht="21.75" customHeight="1" x14ac:dyDescent="0.3">
      <c r="A18" s="15" t="s">
        <v>42</v>
      </c>
      <c r="B18" s="16" t="s">
        <v>43</v>
      </c>
      <c r="C18" s="4">
        <v>1</v>
      </c>
      <c r="D18" s="5">
        <v>5</v>
      </c>
      <c r="E18" s="6">
        <v>0.5</v>
      </c>
      <c r="F18" s="6">
        <v>0.9</v>
      </c>
      <c r="G18" s="7">
        <f>C18*D18*E18</f>
        <v>2.5</v>
      </c>
      <c r="H18" s="7">
        <f>C18*D18*F18</f>
        <v>4.5</v>
      </c>
      <c r="I18" s="17" t="s">
        <v>44</v>
      </c>
    </row>
    <row r="19" spans="1:9" ht="18" customHeight="1" x14ac:dyDescent="0.3">
      <c r="A19" s="66" t="s">
        <v>45</v>
      </c>
      <c r="B19" s="66"/>
      <c r="C19" s="66"/>
      <c r="D19" s="66"/>
      <c r="E19" s="66"/>
      <c r="F19" s="66"/>
      <c r="G19" s="66"/>
      <c r="H19" s="66"/>
      <c r="I19" s="66"/>
    </row>
    <row r="20" spans="1:9" ht="21.75" customHeight="1" x14ac:dyDescent="0.3">
      <c r="A20" s="2" t="s">
        <v>46</v>
      </c>
      <c r="B20" s="3" t="s">
        <v>47</v>
      </c>
      <c r="C20" s="4">
        <v>1</v>
      </c>
      <c r="D20" s="5">
        <v>11.1</v>
      </c>
      <c r="E20" s="6"/>
      <c r="F20" s="6"/>
      <c r="G20" s="3" t="s">
        <v>48</v>
      </c>
      <c r="H20" s="3" t="s">
        <v>48</v>
      </c>
      <c r="I20" s="8" t="s">
        <v>49</v>
      </c>
    </row>
    <row r="22" spans="1:9" ht="15" customHeight="1" x14ac:dyDescent="0.3">
      <c r="A22" s="67" t="s">
        <v>50</v>
      </c>
      <c r="B22" s="67"/>
      <c r="C22" s="67"/>
      <c r="D22" s="67"/>
      <c r="E22" s="67"/>
      <c r="F22" s="67"/>
      <c r="G22" s="67"/>
      <c r="H22" s="67"/>
      <c r="I22" s="67"/>
    </row>
    <row r="23" spans="1:9" ht="26.25" customHeight="1" x14ac:dyDescent="0.3">
      <c r="A23" s="18" t="s">
        <v>51</v>
      </c>
      <c r="B23" s="18" t="s">
        <v>52</v>
      </c>
      <c r="C23" s="18" t="s">
        <v>5</v>
      </c>
      <c r="D23" s="18" t="s">
        <v>53</v>
      </c>
      <c r="E23" s="18" t="s">
        <v>54</v>
      </c>
      <c r="F23" s="18" t="s">
        <v>55</v>
      </c>
      <c r="G23" s="18" t="s">
        <v>56</v>
      </c>
      <c r="H23" s="18" t="s">
        <v>57</v>
      </c>
      <c r="I23" s="18" t="s">
        <v>58</v>
      </c>
    </row>
    <row r="24" spans="1:9" ht="19.5" customHeight="1" x14ac:dyDescent="0.3">
      <c r="A24" s="19" t="s">
        <v>59</v>
      </c>
      <c r="B24" s="20" t="s">
        <v>60</v>
      </c>
      <c r="C24" s="21">
        <v>5</v>
      </c>
      <c r="D24" s="22">
        <f>E5+E6+E7</f>
        <v>0.65400000000000003</v>
      </c>
      <c r="E24" s="22">
        <f>F5+F6+F7</f>
        <v>1.4060000000000001</v>
      </c>
      <c r="F24" s="23">
        <f>5*(E5+E6+E7)</f>
        <v>3.27</v>
      </c>
      <c r="G24" s="23">
        <f>5*(F5+F6+F7)</f>
        <v>7.0300000000000011</v>
      </c>
      <c r="H24" s="24" t="s">
        <v>61</v>
      </c>
      <c r="I24" s="25" t="s">
        <v>62</v>
      </c>
    </row>
    <row r="25" spans="1:9" ht="19.5" customHeight="1" x14ac:dyDescent="0.3">
      <c r="A25" s="19" t="s">
        <v>63</v>
      </c>
      <c r="B25" s="20" t="s">
        <v>64</v>
      </c>
      <c r="C25" s="21">
        <v>5</v>
      </c>
      <c r="D25" s="22">
        <f>E9</f>
        <v>0.1</v>
      </c>
      <c r="E25" s="22">
        <f>F9</f>
        <v>0.65</v>
      </c>
      <c r="F25" s="23">
        <f>5*(E9)</f>
        <v>0.5</v>
      </c>
      <c r="G25" s="23">
        <f>5*(F9)</f>
        <v>3.25</v>
      </c>
      <c r="H25" s="24" t="s">
        <v>65</v>
      </c>
      <c r="I25" s="25" t="s">
        <v>66</v>
      </c>
    </row>
    <row r="26" spans="1:9" ht="19.5" customHeight="1" x14ac:dyDescent="0.3">
      <c r="A26" s="19" t="s">
        <v>67</v>
      </c>
      <c r="B26" s="20" t="s">
        <v>68</v>
      </c>
      <c r="C26" s="21">
        <v>5</v>
      </c>
      <c r="D26" s="22">
        <f>E11+E12+E13</f>
        <v>0.13500000000000001</v>
      </c>
      <c r="E26" s="22">
        <f>F11+F12+F13</f>
        <v>0.38500000000000001</v>
      </c>
      <c r="F26" s="23">
        <f>5*(E11+E12+E13)</f>
        <v>0.67500000000000004</v>
      </c>
      <c r="G26" s="23">
        <f>5*(F11+F12+F13)</f>
        <v>1.925</v>
      </c>
      <c r="H26" s="24" t="s">
        <v>69</v>
      </c>
      <c r="I26" s="25" t="s">
        <v>70</v>
      </c>
    </row>
    <row r="27" spans="1:9" ht="19.5" customHeight="1" x14ac:dyDescent="0.3">
      <c r="A27" s="19" t="s">
        <v>71</v>
      </c>
      <c r="B27" s="20" t="s">
        <v>42</v>
      </c>
      <c r="C27" s="21">
        <v>5</v>
      </c>
      <c r="D27" s="22">
        <f>E18</f>
        <v>0.5</v>
      </c>
      <c r="E27" s="22">
        <f>F18</f>
        <v>0.9</v>
      </c>
      <c r="F27" s="23">
        <f>5*(E18)</f>
        <v>2.5</v>
      </c>
      <c r="G27" s="23">
        <f>5*(F18)</f>
        <v>4.5</v>
      </c>
      <c r="H27" s="24" t="s">
        <v>72</v>
      </c>
      <c r="I27" s="25" t="s">
        <v>73</v>
      </c>
    </row>
    <row r="28" spans="1:9" ht="19.5" customHeight="1" x14ac:dyDescent="0.3">
      <c r="A28" s="19" t="s">
        <v>74</v>
      </c>
      <c r="B28" s="20" t="s">
        <v>75</v>
      </c>
      <c r="C28" s="21">
        <v>12</v>
      </c>
      <c r="D28" s="22">
        <f>E15+E16</f>
        <v>0.46</v>
      </c>
      <c r="E28" s="22">
        <f>F15+F16</f>
        <v>1.32</v>
      </c>
      <c r="F28" s="23">
        <f>12*(E15+E16)</f>
        <v>5.5200000000000005</v>
      </c>
      <c r="G28" s="23">
        <f>12*(F15+F16)</f>
        <v>15.84</v>
      </c>
      <c r="H28" s="24" t="s">
        <v>76</v>
      </c>
      <c r="I28" s="25" t="s">
        <v>77</v>
      </c>
    </row>
    <row r="30" spans="1:9" ht="27.75" customHeight="1" x14ac:dyDescent="0.3">
      <c r="A30" s="68" t="s">
        <v>78</v>
      </c>
      <c r="B30" s="68"/>
      <c r="C30" s="68"/>
      <c r="D30" s="26" t="s">
        <v>8</v>
      </c>
      <c r="E30" s="27">
        <f>IFERROR(G5,0)+IFERROR(G6,0)+IFERROR(G7,0)+IFERROR(G9,0)+IFERROR(G11,0)+IFERROR(G12,0)+IFERROR(G13,0)+IFERROR(G15,0)+IFERROR(G16,0)+IFERROR(G18,0)+IFERROR(G24,0)+IFERROR(G25,0)+IFERROR(G26,0)+IFERROR(G27,0)+IFERROR(G28,0)</f>
        <v>64.758200000000002</v>
      </c>
      <c r="F30" s="26" t="s">
        <v>9</v>
      </c>
      <c r="G30" s="27">
        <f>IFERROR(H5,0)+IFERROR(H6,0)+IFERROR(H7,0)+IFERROR(H9,0)+IFERROR(H11,0)+IFERROR(H12,0)+IFERROR(H13,0)+IFERROR(H15,0)+IFERROR(H16,0)+IFERROR(H18,0)</f>
        <v>97.869800000000012</v>
      </c>
      <c r="H30" s="69" t="s">
        <v>79</v>
      </c>
      <c r="I30" s="69"/>
    </row>
    <row r="32" spans="1:9" ht="21.75" customHeight="1" x14ac:dyDescent="0.3">
      <c r="A32" s="62" t="s">
        <v>80</v>
      </c>
      <c r="B32" s="62"/>
      <c r="C32" s="62"/>
      <c r="D32" s="62"/>
      <c r="E32" s="62"/>
      <c r="F32" s="62"/>
      <c r="G32" s="62"/>
      <c r="H32" s="62"/>
      <c r="I32" s="62"/>
    </row>
    <row r="33" spans="1:9" ht="19.5" customHeight="1" x14ac:dyDescent="0.3">
      <c r="A33" s="28" t="s">
        <v>81</v>
      </c>
      <c r="B33" s="29">
        <v>5200</v>
      </c>
      <c r="C33" s="30" t="s">
        <v>82</v>
      </c>
      <c r="D33" s="63" t="s">
        <v>83</v>
      </c>
      <c r="E33" s="63"/>
      <c r="F33" s="63"/>
      <c r="G33" s="63"/>
      <c r="H33" s="63"/>
      <c r="I33" s="63"/>
    </row>
    <row r="34" spans="1:9" ht="19.5" customHeight="1" x14ac:dyDescent="0.3">
      <c r="A34" s="30" t="s">
        <v>84</v>
      </c>
      <c r="B34" s="5">
        <v>11.1</v>
      </c>
      <c r="C34" s="30" t="s">
        <v>85</v>
      </c>
    </row>
    <row r="35" spans="1:9" ht="19.5" customHeight="1" x14ac:dyDescent="0.3">
      <c r="A35" s="30" t="s">
        <v>86</v>
      </c>
      <c r="B35" s="31">
        <v>0.85</v>
      </c>
      <c r="C35" s="30" t="s">
        <v>87</v>
      </c>
    </row>
    <row r="36" spans="1:9" ht="19.5" customHeight="1" x14ac:dyDescent="0.3">
      <c r="A36" s="30" t="s">
        <v>88</v>
      </c>
      <c r="B36" s="32">
        <f>B33*0.8</f>
        <v>4160</v>
      </c>
      <c r="C36" s="30" t="s">
        <v>89</v>
      </c>
    </row>
    <row r="37" spans="1:9" ht="19.5" customHeight="1" x14ac:dyDescent="0.3">
      <c r="A37" s="30" t="s">
        <v>90</v>
      </c>
      <c r="B37" s="33">
        <f>B33*0.8*B34/1000</f>
        <v>46.176000000000002</v>
      </c>
      <c r="C37" s="30" t="s">
        <v>91</v>
      </c>
    </row>
    <row r="38" spans="1:9" ht="21.75" customHeight="1" x14ac:dyDescent="0.3">
      <c r="A38" s="28" t="s">
        <v>92</v>
      </c>
      <c r="B38" s="34">
        <f>(B33*0.8*B34/1000)/(IFERROR(G5,0)+IFERROR(G6,0)+IFERROR(G7,0)+IFERROR(G9,0)+IFERROR(G11,0)+IFERROR(G12,0)+IFERROR(G13,0)+IFERROR(G15,0)+IFERROR(G16,0)+IFERROR(G18,0))*B35*60</f>
        <v>73.105931729849871</v>
      </c>
      <c r="C38" s="28" t="s">
        <v>93</v>
      </c>
    </row>
    <row r="39" spans="1:9" ht="21.75" customHeight="1" x14ac:dyDescent="0.3">
      <c r="A39" s="28" t="s">
        <v>94</v>
      </c>
      <c r="B39" s="35">
        <f>(B33*0.8*B34/1000)/(IFERROR(H5,0)+IFERROR(H6,0)+IFERROR(H7,0)+IFERROR(H9,0)+IFERROR(H11,0)+IFERROR(H12,0)+IFERROR(H13,0)+IFERROR(H15,0)+IFERROR(H16,0)+IFERROR(H18,0))*B35*60</f>
        <v>24.062335878892156</v>
      </c>
      <c r="C39" s="28" t="s">
        <v>95</v>
      </c>
    </row>
    <row r="41" spans="1:9" ht="21.75" customHeight="1" x14ac:dyDescent="0.3">
      <c r="A41" s="64" t="s">
        <v>96</v>
      </c>
      <c r="B41" s="64"/>
      <c r="C41" s="64"/>
      <c r="D41" s="64"/>
      <c r="E41" s="64"/>
      <c r="F41" s="64"/>
      <c r="G41" s="64"/>
      <c r="H41" s="64"/>
      <c r="I41" s="64"/>
    </row>
    <row r="42" spans="1:9" ht="19.5" customHeight="1" x14ac:dyDescent="0.3">
      <c r="A42" s="61" t="s">
        <v>97</v>
      </c>
      <c r="B42" s="61"/>
      <c r="C42" s="61"/>
      <c r="D42" s="61"/>
      <c r="E42" s="61"/>
      <c r="F42" s="61"/>
      <c r="G42" s="61"/>
      <c r="H42" s="61"/>
      <c r="I42" s="61"/>
    </row>
    <row r="43" spans="1:9" ht="19.5" customHeight="1" x14ac:dyDescent="0.3">
      <c r="A43" s="61" t="s">
        <v>98</v>
      </c>
      <c r="B43" s="61"/>
      <c r="C43" s="61"/>
      <c r="D43" s="61"/>
      <c r="E43" s="61"/>
      <c r="F43" s="61"/>
      <c r="G43" s="61"/>
      <c r="H43" s="61"/>
      <c r="I43" s="61"/>
    </row>
    <row r="44" spans="1:9" ht="19.5" customHeight="1" x14ac:dyDescent="0.3">
      <c r="A44" s="61" t="s">
        <v>99</v>
      </c>
      <c r="B44" s="61"/>
      <c r="C44" s="61"/>
      <c r="D44" s="61"/>
      <c r="E44" s="61"/>
      <c r="F44" s="61"/>
      <c r="G44" s="61"/>
      <c r="H44" s="61"/>
      <c r="I44" s="61"/>
    </row>
    <row r="45" spans="1:9" ht="19.5" customHeight="1" x14ac:dyDescent="0.3">
      <c r="A45" s="61" t="s">
        <v>100</v>
      </c>
      <c r="B45" s="61"/>
      <c r="C45" s="61"/>
      <c r="D45" s="61"/>
      <c r="E45" s="61"/>
      <c r="F45" s="61"/>
      <c r="G45" s="61"/>
      <c r="H45" s="61"/>
      <c r="I45" s="61"/>
    </row>
    <row r="46" spans="1:9" ht="19.5" customHeight="1" x14ac:dyDescent="0.3">
      <c r="A46" s="61" t="s">
        <v>101</v>
      </c>
      <c r="B46" s="61"/>
      <c r="C46" s="61"/>
      <c r="D46" s="61"/>
      <c r="E46" s="61"/>
      <c r="F46" s="61"/>
      <c r="G46" s="61"/>
      <c r="H46" s="61"/>
      <c r="I46" s="61"/>
    </row>
  </sheetData>
  <mergeCells count="19">
    <mergeCell ref="A1:I1"/>
    <mergeCell ref="A2:I2"/>
    <mergeCell ref="A4:I4"/>
    <mergeCell ref="A8:I8"/>
    <mergeCell ref="A10:I10"/>
    <mergeCell ref="A14:I14"/>
    <mergeCell ref="A17:I17"/>
    <mergeCell ref="A19:I19"/>
    <mergeCell ref="A22:I22"/>
    <mergeCell ref="A30:C30"/>
    <mergeCell ref="H30:I30"/>
    <mergeCell ref="A44:I44"/>
    <mergeCell ref="A45:I45"/>
    <mergeCell ref="A46:I46"/>
    <mergeCell ref="A32:I32"/>
    <mergeCell ref="D33:I33"/>
    <mergeCell ref="A41:I41"/>
    <mergeCell ref="A42:I42"/>
    <mergeCell ref="A43:I4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"/>
  <sheetViews>
    <sheetView tabSelected="1" zoomScaleNormal="100" workbookViewId="0">
      <pane ySplit="2" topLeftCell="A33" activePane="bottomLeft" state="frozen"/>
      <selection pane="bottomLeft" activeCell="A7" sqref="A7:F7"/>
    </sheetView>
  </sheetViews>
  <sheetFormatPr defaultColWidth="8.6640625" defaultRowHeight="14.4" x14ac:dyDescent="0.3"/>
  <cols>
    <col min="1" max="1" width="26" customWidth="1"/>
    <col min="2" max="2" width="20" customWidth="1"/>
    <col min="3" max="4" width="18" customWidth="1"/>
    <col min="5" max="5" width="22" customWidth="1"/>
    <col min="6" max="6" width="40" customWidth="1"/>
  </cols>
  <sheetData>
    <row r="1" spans="1:6" ht="27.75" customHeight="1" x14ac:dyDescent="0.3">
      <c r="A1" s="58" t="s">
        <v>102</v>
      </c>
      <c r="B1" s="58"/>
      <c r="C1" s="58"/>
      <c r="D1" s="58"/>
      <c r="E1" s="58"/>
      <c r="F1" s="58"/>
    </row>
    <row r="2" spans="1:6" ht="21.75" customHeight="1" x14ac:dyDescent="0.3">
      <c r="A2" s="59" t="s">
        <v>103</v>
      </c>
      <c r="B2" s="59"/>
      <c r="C2" s="59"/>
      <c r="D2" s="59"/>
      <c r="E2" s="59"/>
      <c r="F2" s="59"/>
    </row>
    <row r="3" spans="1:6" ht="18" customHeight="1" x14ac:dyDescent="0.3">
      <c r="A3" s="60" t="s">
        <v>104</v>
      </c>
      <c r="B3" s="60"/>
      <c r="C3" s="60"/>
      <c r="D3" s="60"/>
      <c r="E3" s="60"/>
      <c r="F3" s="60"/>
    </row>
    <row r="4" spans="1:6" ht="18" customHeight="1" x14ac:dyDescent="0.3">
      <c r="A4" s="54" t="s">
        <v>105</v>
      </c>
      <c r="B4" s="54"/>
      <c r="C4" s="54"/>
      <c r="D4" s="54"/>
      <c r="E4" s="54"/>
      <c r="F4" s="54"/>
    </row>
    <row r="5" spans="1:6" ht="18" customHeight="1" x14ac:dyDescent="0.3">
      <c r="A5" s="55" t="s">
        <v>106</v>
      </c>
      <c r="B5" s="55"/>
      <c r="C5" s="55"/>
      <c r="D5" s="55"/>
      <c r="E5" s="55"/>
      <c r="F5" s="55"/>
    </row>
    <row r="6" spans="1:6" ht="18" customHeight="1" x14ac:dyDescent="0.3">
      <c r="A6" s="54" t="s">
        <v>176</v>
      </c>
      <c r="B6" s="54"/>
      <c r="C6" s="54"/>
      <c r="D6" s="54"/>
      <c r="E6" s="54"/>
      <c r="F6" s="54"/>
    </row>
    <row r="7" spans="1:6" ht="18" customHeight="1" x14ac:dyDescent="0.3">
      <c r="A7" s="55" t="s">
        <v>107</v>
      </c>
      <c r="B7" s="55"/>
      <c r="C7" s="55"/>
      <c r="D7" s="55"/>
      <c r="E7" s="55"/>
      <c r="F7" s="55"/>
    </row>
    <row r="8" spans="1:6" ht="18" customHeight="1" x14ac:dyDescent="0.3">
      <c r="A8" s="54" t="s">
        <v>108</v>
      </c>
      <c r="B8" s="54"/>
      <c r="C8" s="54"/>
      <c r="D8" s="54"/>
      <c r="E8" s="54"/>
      <c r="F8" s="54"/>
    </row>
    <row r="9" spans="1:6" ht="18" customHeight="1" x14ac:dyDescent="0.3">
      <c r="A9" s="56"/>
      <c r="B9" s="56"/>
      <c r="C9" s="56"/>
      <c r="D9" s="56"/>
      <c r="E9" s="56"/>
      <c r="F9" s="56"/>
    </row>
    <row r="10" spans="1:6" ht="18" customHeight="1" x14ac:dyDescent="0.3">
      <c r="A10" s="57" t="s">
        <v>109</v>
      </c>
      <c r="B10" s="57"/>
      <c r="C10" s="57"/>
      <c r="D10" s="57"/>
      <c r="E10" s="57"/>
      <c r="F10" s="57"/>
    </row>
    <row r="12" spans="1:6" ht="27.75" customHeight="1" x14ac:dyDescent="0.3">
      <c r="A12" s="36" t="s">
        <v>110</v>
      </c>
      <c r="B12" s="36" t="s">
        <v>111</v>
      </c>
      <c r="C12" s="36" t="s">
        <v>112</v>
      </c>
      <c r="D12" s="36" t="s">
        <v>113</v>
      </c>
      <c r="E12" s="36" t="s">
        <v>114</v>
      </c>
      <c r="F12" s="36" t="s">
        <v>115</v>
      </c>
    </row>
    <row r="13" spans="1:6" ht="48" customHeight="1" x14ac:dyDescent="0.3">
      <c r="A13" s="37" t="s">
        <v>116</v>
      </c>
      <c r="B13" s="37" t="s">
        <v>117</v>
      </c>
      <c r="C13" s="37" t="s">
        <v>118</v>
      </c>
      <c r="D13" s="37" t="s">
        <v>119</v>
      </c>
      <c r="E13" s="37" t="s">
        <v>120</v>
      </c>
      <c r="F13" s="17" t="s">
        <v>121</v>
      </c>
    </row>
    <row r="14" spans="1:6" ht="48" customHeight="1" x14ac:dyDescent="0.3">
      <c r="A14" s="38" t="s">
        <v>122</v>
      </c>
      <c r="B14" s="38" t="s">
        <v>123</v>
      </c>
      <c r="C14" s="38" t="s">
        <v>48</v>
      </c>
      <c r="D14" s="38" t="s">
        <v>124</v>
      </c>
      <c r="E14" s="38" t="s">
        <v>125</v>
      </c>
      <c r="F14" s="39" t="s">
        <v>126</v>
      </c>
    </row>
    <row r="15" spans="1:6" ht="48" customHeight="1" x14ac:dyDescent="0.3">
      <c r="A15" s="37" t="s">
        <v>127</v>
      </c>
      <c r="B15" s="37" t="s">
        <v>117</v>
      </c>
      <c r="C15" s="37" t="s">
        <v>128</v>
      </c>
      <c r="D15" s="37" t="s">
        <v>129</v>
      </c>
      <c r="E15" s="37" t="s">
        <v>130</v>
      </c>
      <c r="F15" s="17" t="s">
        <v>131</v>
      </c>
    </row>
    <row r="16" spans="1:6" ht="48" customHeight="1" x14ac:dyDescent="0.3">
      <c r="A16" s="40" t="s">
        <v>132</v>
      </c>
      <c r="B16" s="40" t="s">
        <v>133</v>
      </c>
      <c r="C16" s="40" t="s">
        <v>134</v>
      </c>
      <c r="D16" s="40" t="s">
        <v>135</v>
      </c>
      <c r="E16" s="40" t="s">
        <v>136</v>
      </c>
      <c r="F16" s="11" t="s">
        <v>137</v>
      </c>
    </row>
    <row r="17" spans="1:6" ht="48" customHeight="1" x14ac:dyDescent="0.3">
      <c r="A17" s="40" t="s">
        <v>138</v>
      </c>
      <c r="B17" s="40" t="s">
        <v>133</v>
      </c>
      <c r="C17" s="40" t="s">
        <v>139</v>
      </c>
      <c r="D17" s="40" t="s">
        <v>140</v>
      </c>
      <c r="E17" s="40" t="s">
        <v>141</v>
      </c>
      <c r="F17" s="11" t="s">
        <v>142</v>
      </c>
    </row>
    <row r="18" spans="1:6" ht="48" customHeight="1" x14ac:dyDescent="0.3">
      <c r="A18" s="40" t="s">
        <v>143</v>
      </c>
      <c r="B18" s="40" t="s">
        <v>144</v>
      </c>
      <c r="C18" s="40" t="s">
        <v>145</v>
      </c>
      <c r="D18" s="40" t="s">
        <v>146</v>
      </c>
      <c r="E18" s="40" t="s">
        <v>147</v>
      </c>
      <c r="F18" s="11" t="s">
        <v>148</v>
      </c>
    </row>
    <row r="19" spans="1:6" ht="48" customHeight="1" x14ac:dyDescent="0.3">
      <c r="A19" s="40" t="s">
        <v>149</v>
      </c>
      <c r="B19" s="40" t="s">
        <v>133</v>
      </c>
      <c r="C19" s="40" t="s">
        <v>134</v>
      </c>
      <c r="D19" s="40" t="s">
        <v>150</v>
      </c>
      <c r="E19" s="40" t="s">
        <v>151</v>
      </c>
      <c r="F19" s="11" t="s">
        <v>152</v>
      </c>
    </row>
    <row r="20" spans="1:6" ht="48" customHeight="1" x14ac:dyDescent="0.3">
      <c r="A20" s="40" t="s">
        <v>153</v>
      </c>
      <c r="B20" s="40" t="s">
        <v>133</v>
      </c>
      <c r="C20" s="40" t="s">
        <v>139</v>
      </c>
      <c r="D20" s="40" t="s">
        <v>154</v>
      </c>
      <c r="E20" s="40" t="s">
        <v>141</v>
      </c>
      <c r="F20" s="11" t="s">
        <v>155</v>
      </c>
    </row>
    <row r="22" spans="1:6" ht="21.75" customHeight="1" x14ac:dyDescent="0.3">
      <c r="A22" s="52" t="s">
        <v>156</v>
      </c>
      <c r="B22" s="52"/>
      <c r="C22" s="52"/>
      <c r="D22" s="52"/>
      <c r="E22" s="52"/>
      <c r="F22" s="52"/>
    </row>
    <row r="23" spans="1:6" ht="31.5" customHeight="1" x14ac:dyDescent="0.3">
      <c r="A23" s="53" t="s">
        <v>157</v>
      </c>
      <c r="B23" s="53"/>
      <c r="C23" s="53"/>
      <c r="D23" s="53"/>
      <c r="E23" s="53"/>
      <c r="F23" s="53"/>
    </row>
    <row r="24" spans="1:6" ht="31.5" customHeight="1" x14ac:dyDescent="0.3">
      <c r="A24" s="47" t="s">
        <v>158</v>
      </c>
      <c r="B24" s="47"/>
      <c r="C24" s="47"/>
      <c r="D24" s="47"/>
      <c r="E24" s="47"/>
      <c r="F24" s="47"/>
    </row>
    <row r="25" spans="1:6" ht="31.5" customHeight="1" x14ac:dyDescent="0.3">
      <c r="A25" s="47" t="s">
        <v>159</v>
      </c>
      <c r="B25" s="47"/>
      <c r="C25" s="47"/>
      <c r="D25" s="47"/>
      <c r="E25" s="47"/>
      <c r="F25" s="47"/>
    </row>
    <row r="26" spans="1:6" ht="31.5" customHeight="1" x14ac:dyDescent="0.3">
      <c r="A26" s="47" t="s">
        <v>160</v>
      </c>
      <c r="B26" s="47"/>
      <c r="C26" s="47"/>
      <c r="D26" s="47"/>
      <c r="E26" s="47"/>
      <c r="F26" s="47"/>
    </row>
    <row r="27" spans="1:6" ht="31.5" customHeight="1" x14ac:dyDescent="0.3">
      <c r="A27" s="47" t="s">
        <v>161</v>
      </c>
      <c r="B27" s="47"/>
      <c r="C27" s="47"/>
      <c r="D27" s="47"/>
      <c r="E27" s="47"/>
      <c r="F27" s="47"/>
    </row>
    <row r="28" spans="1:6" ht="31.5" customHeight="1" x14ac:dyDescent="0.3">
      <c r="A28" s="48" t="s">
        <v>162</v>
      </c>
      <c r="B28" s="48"/>
      <c r="C28" s="48"/>
      <c r="D28" s="48"/>
      <c r="E28" s="48"/>
      <c r="F28" s="48"/>
    </row>
    <row r="29" spans="1:6" ht="31.5" customHeight="1" x14ac:dyDescent="0.3">
      <c r="A29" s="49" t="s">
        <v>163</v>
      </c>
      <c r="B29" s="49"/>
      <c r="C29" s="49"/>
      <c r="D29" s="49"/>
      <c r="E29" s="49"/>
      <c r="F29" s="49"/>
    </row>
    <row r="30" spans="1:6" ht="31.5" customHeight="1" x14ac:dyDescent="0.3">
      <c r="A30" s="50" t="s">
        <v>164</v>
      </c>
      <c r="B30" s="50"/>
      <c r="C30" s="50"/>
      <c r="D30" s="50"/>
      <c r="E30" s="50"/>
      <c r="F30" s="50"/>
    </row>
    <row r="32" spans="1:6" ht="21.75" customHeight="1" x14ac:dyDescent="0.3">
      <c r="A32" s="51" t="s">
        <v>165</v>
      </c>
      <c r="B32" s="51"/>
      <c r="C32" s="51"/>
      <c r="D32" s="51"/>
      <c r="E32" s="51"/>
      <c r="F32" s="51"/>
    </row>
    <row r="33" spans="1:6" ht="51.75" customHeight="1" x14ac:dyDescent="0.3">
      <c r="A33" s="41" t="s">
        <v>166</v>
      </c>
      <c r="B33" s="44" t="s">
        <v>167</v>
      </c>
      <c r="C33" s="44"/>
      <c r="D33" s="44"/>
      <c r="E33" s="44"/>
      <c r="F33" s="44"/>
    </row>
    <row r="34" spans="1:6" ht="51.75" customHeight="1" x14ac:dyDescent="0.3">
      <c r="A34" s="41" t="s">
        <v>168</v>
      </c>
      <c r="B34" s="44" t="s">
        <v>169</v>
      </c>
      <c r="C34" s="44"/>
      <c r="D34" s="44"/>
      <c r="E34" s="44"/>
      <c r="F34" s="44"/>
    </row>
    <row r="35" spans="1:6" ht="51.75" customHeight="1" x14ac:dyDescent="0.3">
      <c r="A35" s="42" t="s">
        <v>170</v>
      </c>
      <c r="B35" s="45" t="s">
        <v>171</v>
      </c>
      <c r="C35" s="45"/>
      <c r="D35" s="45"/>
      <c r="E35" s="45"/>
      <c r="F35" s="45"/>
    </row>
    <row r="36" spans="1:6" ht="51.75" customHeight="1" x14ac:dyDescent="0.3">
      <c r="A36" s="42" t="s">
        <v>172</v>
      </c>
      <c r="B36" s="45" t="s">
        <v>173</v>
      </c>
      <c r="C36" s="45"/>
      <c r="D36" s="45"/>
      <c r="E36" s="45"/>
      <c r="F36" s="45"/>
    </row>
    <row r="37" spans="1:6" ht="51.75" customHeight="1" x14ac:dyDescent="0.3">
      <c r="A37" s="43" t="s">
        <v>174</v>
      </c>
      <c r="B37" s="46" t="s">
        <v>175</v>
      </c>
      <c r="C37" s="46"/>
      <c r="D37" s="46"/>
      <c r="E37" s="46"/>
      <c r="F37" s="46"/>
    </row>
  </sheetData>
  <mergeCells count="2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  <mergeCell ref="A32:F32"/>
    <mergeCell ref="B33:F33"/>
    <mergeCell ref="B34:F34"/>
    <mergeCell ref="B35:F35"/>
    <mergeCell ref="B36:F36"/>
    <mergeCell ref="B37:F3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Power Budget</vt:lpstr>
      <vt:lpstr>Protezione &amp; Fusibili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gianbattista cerioli</cp:lastModifiedBy>
  <cp:revision>0</cp:revision>
  <dcterms:created xsi:type="dcterms:W3CDTF">2026-03-30T16:00:11Z</dcterms:created>
  <dcterms:modified xsi:type="dcterms:W3CDTF">2026-03-30T16:56:06Z</dcterms:modified>
  <dc:language>en-US</dc:language>
</cp:coreProperties>
</file>